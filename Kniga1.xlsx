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ЛиОвИЗ\"/>
    </mc:Choice>
  </mc:AlternateContent>
  <bookViews>
    <workbookView xWindow="-105" yWindow="-105" windowWidth="23250" windowHeight="124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C28" i="1"/>
  <c r="F14" i="1"/>
  <c r="E14" i="1"/>
  <c r="C26" i="1"/>
  <c r="H14" i="1"/>
  <c r="C14" i="1"/>
  <c r="D14" i="1"/>
  <c r="B14" i="1"/>
</calcChain>
</file>

<file path=xl/sharedStrings.xml><?xml version="1.0" encoding="utf-8"?>
<sst xmlns="http://schemas.openxmlformats.org/spreadsheetml/2006/main" count="6" uniqueCount="4">
  <si>
    <t>Размер матриц</t>
  </si>
  <si>
    <t>О-большое (количество операций)</t>
  </si>
  <si>
    <t>время выполнения (сек)</t>
  </si>
  <si>
    <t>1 000 000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</si>
</sst>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времени выполнения программы от размера матриц</a:t>
            </a:r>
          </a:p>
        </c:rich>
      </c:tx>
      <c:layout>
        <c:manualLayout>
          <c:xMode val="edge"/>
          <c:yMode val="edge"/>
          <c:x val="0.13443047602004296"/>
          <c:y val="2.9629629629629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Лист1!$A$13</c:f>
              <c:strCache>
                <c:ptCount val="1"/>
                <c:pt idx="0">
                  <c:v>Размер матриц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Лист1!$B$12:$H$12</c:f>
              <c:numCache>
                <c:formatCode>General</c:formatCode>
                <c:ptCount val="7"/>
                <c:pt idx="0">
                  <c:v>2E-3</c:v>
                </c:pt>
                <c:pt idx="1">
                  <c:v>1.2E-2</c:v>
                </c:pt>
                <c:pt idx="2">
                  <c:v>8.2000000000000003E-2</c:v>
                </c:pt>
                <c:pt idx="3">
                  <c:v>1.3540000000000001</c:v>
                </c:pt>
                <c:pt idx="4">
                  <c:v>20.225999999999999</c:v>
                </c:pt>
                <c:pt idx="5">
                  <c:v>289.68099999999998</c:v>
                </c:pt>
                <c:pt idx="6">
                  <c:v>2260.3040000000001</c:v>
                </c:pt>
              </c:numCache>
            </c:numRef>
          </c:cat>
          <c:val>
            <c:numRef>
              <c:f>Лист1!$B$13:$H$13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1000</c:v>
                </c:pt>
                <c:pt idx="4">
                  <c:v>2000</c:v>
                </c:pt>
                <c:pt idx="5">
                  <c:v>4000</c:v>
                </c:pt>
                <c:pt idx="6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B-46A1-9493-79752A3BE921}"/>
            </c:ext>
          </c:extLst>
        </c:ser>
        <c:ser>
          <c:idx val="1"/>
          <c:order val="1"/>
          <c:tx>
            <c:strRef>
              <c:f>Лист1!$A$14</c:f>
              <c:strCache>
                <c:ptCount val="1"/>
                <c:pt idx="0">
                  <c:v>О-большое (количество операций)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Лист1!$B$12:$H$12</c:f>
              <c:numCache>
                <c:formatCode>General</c:formatCode>
                <c:ptCount val="7"/>
                <c:pt idx="0">
                  <c:v>2E-3</c:v>
                </c:pt>
                <c:pt idx="1">
                  <c:v>1.2E-2</c:v>
                </c:pt>
                <c:pt idx="2">
                  <c:v>8.2000000000000003E-2</c:v>
                </c:pt>
                <c:pt idx="3">
                  <c:v>1.3540000000000001</c:v>
                </c:pt>
                <c:pt idx="4">
                  <c:v>20.225999999999999</c:v>
                </c:pt>
                <c:pt idx="5">
                  <c:v>289.68099999999998</c:v>
                </c:pt>
                <c:pt idx="6">
                  <c:v>2260.3040000000001</c:v>
                </c:pt>
              </c:numCache>
            </c:numRef>
          </c:cat>
          <c:val>
            <c:numRef>
              <c:f>Лист1!$B$14:$H$14</c:f>
              <c:numCache>
                <c:formatCode>General</c:formatCode>
                <c:ptCount val="7"/>
                <c:pt idx="0">
                  <c:v>50</c:v>
                </c:pt>
                <c:pt idx="1">
                  <c:v>400</c:v>
                </c:pt>
                <c:pt idx="2">
                  <c:v>800</c:v>
                </c:pt>
                <c:pt idx="3">
                  <c:v>2000</c:v>
                </c:pt>
                <c:pt idx="4">
                  <c:v>4000</c:v>
                </c:pt>
                <c:pt idx="5">
                  <c:v>10000</c:v>
                </c:pt>
                <c:pt idx="6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1B-46A1-9493-79752A3BE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7994480"/>
        <c:axId val="1828001136"/>
      </c:lineChart>
      <c:catAx>
        <c:axId val="182799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 (сек)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8001136"/>
        <c:crosses val="autoZero"/>
        <c:auto val="1"/>
        <c:lblAlgn val="ctr"/>
        <c:lblOffset val="100"/>
        <c:noMultiLvlLbl val="0"/>
      </c:catAx>
      <c:valAx>
        <c:axId val="1828001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2799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1133474</xdr:colOff>
      <xdr:row>15</xdr:row>
      <xdr:rowOff>0</xdr:rowOff>
    </xdr:from>
    <xdr:to>
      <xdr:col>10</xdr:col>
      <xdr:colOff>380999</xdr:colOff>
      <xdr:row>33</xdr:row>
      <xdr:rowOff>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zoomScaleNormal="100" workbookViewId="0">
      <selection activeCell="G15" sqref="G15"/>
    </sheetView>
  </sheetViews>
  <sheetFormatPr defaultRowHeight="15" x14ac:dyDescent="0.25"/>
  <cols>
    <col min="1" max="1" width="23.85546875" customWidth="1"/>
    <col min="2" max="2" width="32.85546875" customWidth="1"/>
    <col min="3" max="3" width="33.42578125" customWidth="1"/>
    <col min="4" max="4" width="22.85546875" customWidth="1"/>
    <col min="5" max="5" width="11" bestFit="1" customWidth="1"/>
    <col min="7" max="7" width="23" customWidth="1"/>
    <col min="8" max="8" width="27.5703125" customWidth="1"/>
  </cols>
  <sheetData>
    <row r="1" spans="1:8" ht="14.45" customHeight="1" x14ac:dyDescent="0.25">
      <c r="C1" s="2" t="s">
        <v>0</v>
      </c>
      <c r="D1" s="2" t="s">
        <v>1</v>
      </c>
    </row>
    <row r="2" spans="1:8" x14ac:dyDescent="0.25">
      <c r="A2">
        <v>1</v>
      </c>
      <c r="B2" s="1">
        <v>2E-3</v>
      </c>
      <c r="C2" s="1">
        <v>100</v>
      </c>
      <c r="D2" s="1" t="s">
        <v>3</v>
      </c>
    </row>
    <row r="3" spans="1:8" x14ac:dyDescent="0.25">
      <c r="A3">
        <v>2</v>
      </c>
      <c r="B3" s="1">
        <v>1.2E-2</v>
      </c>
      <c r="C3" s="1">
        <v>200</v>
      </c>
      <c r="D3" s="1">
        <v>8000000</v>
      </c>
    </row>
    <row r="4" spans="1:8" x14ac:dyDescent="0.25">
      <c r="A4">
        <v>3</v>
      </c>
      <c r="B4" s="1">
        <v>8.2000000000000003E-2</v>
      </c>
      <c r="C4" s="1">
        <v>400</v>
      </c>
      <c r="D4" s="1">
        <v>16000000</v>
      </c>
    </row>
    <row r="5" spans="1:8" x14ac:dyDescent="0.25">
      <c r="A5">
        <v>4</v>
      </c>
      <c r="B5" s="1">
        <v>1.3540000000000001</v>
      </c>
      <c r="C5" s="1">
        <v>1000</v>
      </c>
      <c r="D5" s="1">
        <v>1000000000</v>
      </c>
    </row>
    <row r="6" spans="1:8" x14ac:dyDescent="0.25">
      <c r="A6">
        <v>5</v>
      </c>
      <c r="B6" s="1">
        <v>20.225999999999999</v>
      </c>
      <c r="C6" s="1">
        <v>2000</v>
      </c>
      <c r="D6" s="1">
        <v>8000000000</v>
      </c>
    </row>
    <row r="7" spans="1:8" x14ac:dyDescent="0.25">
      <c r="A7">
        <v>6</v>
      </c>
      <c r="B7" s="1">
        <v>289.68099999999998</v>
      </c>
      <c r="C7" s="1">
        <v>4000</v>
      </c>
      <c r="D7" s="1">
        <v>16000000000</v>
      </c>
    </row>
    <row r="8" spans="1:8" x14ac:dyDescent="0.25">
      <c r="A8">
        <v>7</v>
      </c>
      <c r="B8" s="1">
        <v>2260.3040000000001</v>
      </c>
      <c r="C8" s="1">
        <v>10000</v>
      </c>
      <c r="D8" s="1">
        <v>1000000000000</v>
      </c>
    </row>
    <row r="9" spans="1:8" x14ac:dyDescent="0.25">
      <c r="A9" s="1"/>
      <c r="B9" s="1"/>
    </row>
    <row r="11" spans="1:8" x14ac:dyDescent="0.25">
      <c r="B11" s="1"/>
      <c r="C11" s="1"/>
      <c r="D11" s="1"/>
      <c r="E11" s="1"/>
      <c r="F11" s="1"/>
      <c r="G11" s="1"/>
      <c r="H11" s="1"/>
    </row>
    <row r="12" spans="1:8" x14ac:dyDescent="0.25">
      <c r="A12" t="s">
        <v>2</v>
      </c>
      <c r="B12" s="1">
        <v>2E-3</v>
      </c>
      <c r="C12" s="1">
        <v>1.2E-2</v>
      </c>
      <c r="D12" s="1">
        <v>8.2000000000000003E-2</v>
      </c>
      <c r="E12" s="1">
        <v>1.3540000000000001</v>
      </c>
      <c r="F12" s="1">
        <v>20.225999999999999</v>
      </c>
      <c r="G12" s="1">
        <v>289.68099999999998</v>
      </c>
      <c r="H12" s="1">
        <v>2260.3040000000001</v>
      </c>
    </row>
    <row r="13" spans="1:8" x14ac:dyDescent="0.25">
      <c r="A13" s="2" t="s">
        <v>0</v>
      </c>
      <c r="B13" s="1">
        <v>100</v>
      </c>
      <c r="C13" s="1">
        <v>200</v>
      </c>
      <c r="D13" s="1">
        <v>400</v>
      </c>
      <c r="E13" s="1">
        <v>1000</v>
      </c>
      <c r="F13" s="1">
        <v>2000</v>
      </c>
      <c r="G13" s="1">
        <v>4000</v>
      </c>
      <c r="H13" s="1">
        <v>10000</v>
      </c>
    </row>
    <row r="14" spans="1:8" x14ac:dyDescent="0.25">
      <c r="A14" s="2" t="s">
        <v>1</v>
      </c>
      <c r="B14">
        <f>B19/$B$23</f>
        <v>50</v>
      </c>
      <c r="C14">
        <f t="shared" ref="C14:H14" si="0">C19/$B$23</f>
        <v>400</v>
      </c>
      <c r="D14">
        <f t="shared" si="0"/>
        <v>800</v>
      </c>
      <c r="E14">
        <f>E19/$B$23-48000</f>
        <v>2000</v>
      </c>
      <c r="F14">
        <f>F19/$B$23-396000</f>
        <v>4000</v>
      </c>
      <c r="G14">
        <f>G19/$B$23-790000</f>
        <v>10000</v>
      </c>
      <c r="H14">
        <f>H19/$B$23-49980000</f>
        <v>20000</v>
      </c>
    </row>
    <row r="19" spans="2:8" x14ac:dyDescent="0.25">
      <c r="B19" s="1">
        <v>1000000</v>
      </c>
      <c r="C19" s="1">
        <v>8000000</v>
      </c>
      <c r="D19" s="1">
        <v>16000000</v>
      </c>
      <c r="E19" s="1">
        <v>1000000000</v>
      </c>
      <c r="F19" s="1">
        <v>8000000000</v>
      </c>
      <c r="G19" s="1">
        <v>16000000000</v>
      </c>
      <c r="H19" s="1">
        <v>1000000000000</v>
      </c>
    </row>
    <row r="23" spans="2:8" x14ac:dyDescent="0.25">
      <c r="B23">
        <v>20000</v>
      </c>
      <c r="C23">
        <v>300</v>
      </c>
    </row>
    <row r="26" spans="2:8" x14ac:dyDescent="0.25">
      <c r="C26">
        <f>40000-4000</f>
        <v>36000</v>
      </c>
    </row>
    <row r="28" spans="2:8" x14ac:dyDescent="0.25">
      <c r="C28">
        <f>800000-10000</f>
        <v>790000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ardor</dc:creator>
  <cp:lastModifiedBy>ardor</cp:lastModifiedBy>
  <dcterms:created xsi:type="dcterms:W3CDTF">2025-09-17T07:49:26Z</dcterms:created>
  <dcterms:modified xsi:type="dcterms:W3CDTF">2025-09-19T09:55:18Z</dcterms:modified>
</cp:coreProperties>
</file>